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d3dff4ae9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e923ba2915474e7b"/>
    <x:sheet xmlns:r="http://schemas.openxmlformats.org/officeDocument/2006/relationships" name="作品评论明细" sheetId="2" r:id="R818298507aac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 hh:mm"/>
    <x:numFmt numFmtId="202" formatCode="0"/>
  </x:numFmts>
  <x:fonts count="22">
    <x:font>
      <x:sz val="11"/>
      <x:name val="Carlito"/>
    </x:font>
    <x:font>
      <x:b/>
      <x:sz val="18"/>
      <x:color rgb="FFFFFFFF"/>
      <x:name val="Carlito"/>
    </x:font>
    <x:font>
      <x:sz val="10"/>
      <x:color rgb="FF44546A"/>
      <x:name val="Carlito"/>
    </x:font>
    <x:font>
      <x:b/>
      <x:sz val="10"/>
      <x:color rgb="FF1F4E78"/>
      <x:name val="Carlito"/>
    </x:font>
    <x:font>
      <x:b/>
      <x:sz val="20"/>
      <x:color rgb="FF1F4E78"/>
      <x:name val="Carlito"/>
    </x:font>
    <x:font>
      <x:b/>
      <x:sz val="11"/>
      <x:color rgb="FF1F4E78"/>
      <x:name val="Carlito"/>
    </x:font>
    <x:font>
      <x:sz val="10"/>
      <x:color rgb="FF404040"/>
      <x:name val="Carlito"/>
    </x:font>
    <x:font>
      <x:sz val="10"/>
      <x:color rgb="FF0563C1"/>
      <x:name val="Carlito"/>
    </x:font>
    <x:font>
      <x:b/>
      <x:sz val="18"/>
      <x:color rgb="FFFFFFFF"/>
      <x:name val="Calibri"/>
    </x:font>
    <x:font>
      <x:sz val="10"/>
      <x:color rgb="FF44546A"/>
      <x:name val="Calibri"/>
    </x:font>
    <x:font>
      <x:sz val="11"/>
      <x:name val="Calibri"/>
    </x:font>
    <x:font>
      <x:b/>
      <x:sz val="10"/>
      <x:color rgb="FF1F4E78"/>
      <x:name val="Calibri"/>
    </x:font>
    <x:font>
      <x:b/>
      <x:sz val="20"/>
      <x:color rgb="FF1F4E78"/>
      <x:name val="Calibri"/>
    </x:font>
    <x:font>
      <x:b/>
      <x:sz val="11"/>
      <x:color rgb="FF1F4E78"/>
      <x:name val="Calibri"/>
    </x:font>
    <x:font>
      <x:sz val="10"/>
      <x:color rgb="FF404040"/>
      <x:name val="Calibri"/>
    </x:font>
    <x:font>
      <x:sz val="10"/>
      <x:color rgb="FF0563C1"/>
      <x:name val="Calibri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0"/>
      <x:color rgb="FF202124"/>
      <x:name val="Carlito"/>
    </x:font>
    <x:font>
      <x:sz val="8"/>
      <x:color rgb="FF5F6368"/>
      <x:name val="Carlito"/>
    </x:font>
    <x:font>
      <x:b/>
      <x:sz val="11"/>
      <x:color rgb="FFFFFFFF"/>
      <x:name val="Carlito"/>
    </x:font>
    <x:font>
      <x:sz val="8"/>
      <x:color rgb="FF667085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8FBFE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7">
    <x:border/>
    <x:border>
      <x:left style="thin">
        <x:color rgb="FFA9C4DE"/>
      </x:left>
      <x:top style="thin">
        <x:color rgb="FFA9C4DE"/>
      </x:top>
      <x:bottom style="thin">
        <x:color rgb="FFA9C4DE"/>
      </x:bottom>
    </x:border>
    <x:border>
      <x:right style="thin">
        <x:color rgb="FFA9C4DE"/>
      </x:right>
      <x:top style="thin">
        <x:color rgb="FFA9C4DE"/>
      </x:top>
      <x:bottom style="thin">
        <x:color rgb="FFA9C4DE"/>
      </x:bottom>
    </x:border>
    <x:border>
      <x:left style="thin">
        <x:color rgb="FFA9C4DE"/>
      </x:left>
      <x:top style="thin">
        <x:color rgb="FFA9C4DE"/>
      </x:top>
    </x:border>
    <x:border>
      <x:right style="thin">
        <x:color rgb="FFA9C4DE"/>
      </x:right>
      <x:top style="thin">
        <x:color rgb="FFA9C4DE"/>
      </x:top>
    </x:border>
    <x:border>
      <x:left style="thin">
        <x:color rgb="FFA9C4DE"/>
      </x:left>
      <x:bottom style="thin">
        <x:color rgb="FFA9C4DE"/>
      </x:bottom>
    </x:border>
    <x:border>
      <x:right style="thin">
        <x:color rgb="FFA9C4DE"/>
      </x:right>
      <x:bottom style="thin">
        <x:color rgb="FFA9C4DE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left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left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0" fontId="12" fillId="5" borderId="4" xfId="0" applyNumberFormat="1" applyFont="1" applyFill="1" applyBorder="1" applyAlignment="1">
      <x:alignment horizontal="center" vertical="center"/>
    </x:xf>
    <x:xf numFmtId="200" fontId="12" fillId="5" borderId="5" xfId="0" applyNumberFormat="1" applyFont="1" applyFill="1" applyBorder="1" applyAlignment="1">
      <x:alignment horizontal="center" vertical="center"/>
    </x:xf>
    <x:xf numFmtId="200" fontId="12" fillId="5" borderId="6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horizontal="left" vertical="center"/>
    </x:xf>
    <x:xf numFmtId="0" fontId="14" fillId="7" borderId="0" xfId="0" applyNumberFormat="1" applyFont="1" applyFill="1" applyBorder="1" applyAlignment="1">
      <x:alignment horizontal="left" vertical="center" wrapText="1"/>
    </x:xf>
    <x:xf numFmtId="0" fontId="14" fillId="8" borderId="0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/>
    <x:xf numFmtId="0" fontId="15" fillId="0" borderId="0" xfId="0" applyNumberFormat="1" applyFont="1" applyFill="1" applyBorder="1" applyAlignment="1">
      <x:alignment horizontal="left" vertical="center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horizont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 applyAlignment="1">
      <x:alignment horizontal="left"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0"/>
    </x:xf>
    <x:xf numFmtId="0" fontId="19" fillId="0" borderId="0" xfId="0" applyNumberFormat="1" applyFont="1" applyFill="1" applyBorder="1" applyAlignment="1">
      <x:alignment horizontal="left" vertical="center" wrapText="0"/>
    </x:xf>
    <x:xf numFmtId="200" fontId="18" fillId="0" borderId="0" xfId="0" applyNumberFormat="1" applyFont="1" applyFill="1" applyBorder="1" applyAlignment="1">
      <x:alignment horizontal="center" vertical="center"/>
    </x:xf>
    <x:xf numFmtId="201" fontId="18" fillId="0" borderId="0" xfId="0" applyNumberFormat="1" applyFont="1" applyFill="1" applyBorder="1" applyAlignment="1">
      <x:alignment horizontal="center" vertical="center"/>
    </x:xf>
    <x:xf numFmtId="0" fontId="16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0" xfId="0" applyNumberFormat="1" applyFont="1" applyFill="1" applyBorder="1" applyAlignment="1">
      <x:alignment horizontal="center"/>
    </x:xf>
    <x:xf numFmtId="0" fontId="20" fillId="1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9C6500"/>
      </x:font>
      <x:fill>
        <x:patternFill>
          <x:bgColor rgb="FFFFF2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color rgb="FF7F7F7F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0e056327e4864" /><Relationship Type="http://schemas.openxmlformats.org/officeDocument/2006/relationships/theme" Target="/xl/theme/theme1.xml" Id="R59d1ca8196514079" /><Relationship Type="http://schemas.openxmlformats.org/officeDocument/2006/relationships/sharedStrings" Target="/xl/sharedStrings.xml" Id="R5cb2b4f93519434e" /><Relationship Type="http://schemas.openxmlformats.org/officeDocument/2006/relationships/worksheet" Target="/xl/worksheets/sheet1.xml" Id="Re923ba2915474e7b" /><Relationship Type="http://schemas.openxmlformats.org/officeDocument/2006/relationships/worksheet" Target="/xl/worksheets/sheet2.xml" Id="R818298507aac4052" /></Relationships>
</file>

<file path=xl/tables/table1.xml><?xml version="1.0" encoding="utf-8"?>
<x:table xmlns:x="http://schemas.openxmlformats.org/spreadsheetml/2006/main" id="1" name="WorksCommentsTable" displayName="WorksCommentsTable" ref="A4:L33" headerRowCount="1" totalsRowCount="0" totalsRowShown="0">
  <x:autoFilter ref="A4:L33"/>
  <x:tableColumns count="12">
    <x:tableColumn id="1" name="序号"/>
    <x:tableColumn id="2" name="角色类型"/>
    <x:tableColumn id="3" name="创作者编号"/>
    <x:tableColumn id="4" name="作品名称"/>
    <x:tableColumn id="5" name="当前流程"/>
    <x:tableColumn id="6" name="普通评论总数"/>
    <x:tableColumn id="7" name="主评论"/>
    <x:tableColumn id="8" name="回复"/>
    <x:tableColumn id="9" name="综合评论总数"/>
    <x:tableColumn id="10" name="评论 / 互动合计"/>
    <x:tableColumn id="11" name="发布时间"/>
    <x:tableColumn id="12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31c707e8a045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52" t="str">
        <x:v>个人作品与评论统计</x:v>
      </x:c>
      <x:c r="B1" s="52"/>
      <x:c r="C1" s="52"/>
      <x:c r="D1" s="52"/>
      <x:c r="E1" s="52"/>
      <x:c r="F1" s="52"/>
      <x:c r="G1" s="52"/>
      <x:c r="H1" s="52"/>
    </x:row>
    <x:row r="2" ht="24" customHeight="1">
      <x:c r="A2" s="53" t="str">
        <x:v>按全部有效历史评论统计｜导出时间：2026/8/12 00:05:13</x:v>
      </x:c>
      <x:c r="B2" s="53"/>
      <x:c r="C2" s="53"/>
      <x:c r="D2" s="53"/>
      <x:c r="E2" s="53"/>
      <x:c r="F2" s="53"/>
      <x:c r="G2" s="53"/>
      <x:c r="H2" s="53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 ht="25" customHeight="1">
      <x:c r="A4" s="55" t="str">
        <x:v>已发布个人作品</x:v>
      </x:c>
      <x:c r="B4" s="56"/>
      <x:c r="C4" s="54"/>
      <x:c r="D4" s="55" t="str">
        <x:v>正式角色作品</x:v>
      </x:c>
      <x:c r="E4" s="56"/>
      <x:c r="F4" s="54"/>
      <x:c r="G4" s="55" t="str">
        <x:v>测试角色作品</x:v>
      </x:c>
      <x:c r="H4" s="56"/>
    </x:row>
    <x:row r="5" ht="25" customHeight="1">
      <x:c r="A5" s="57" t="n">
        <x:f>COUNTA('作品评论明细'!$C$5:$C$33)</x:f>
        <x:v>29</x:v>
      </x:c>
      <x:c r="B5" s="58"/>
      <x:c r="C5" s="54"/>
      <x:c r="D5" s="57" t="n">
        <x:f>COUNTIF('作品评论明细'!$B$5:$B$33,"正式角色")</x:f>
        <x:v>26</x:v>
      </x:c>
      <x:c r="E5" s="58"/>
      <x:c r="F5" s="54"/>
      <x:c r="G5" s="57" t="n">
        <x:f>COUNTIF('作品评论明细'!$B$5:$B$33,"测试角色")</x:f>
        <x:v>3</x:v>
      </x:c>
      <x:c r="H5" s="58"/>
    </x:row>
    <x:row r="6" ht="25" customHeight="1">
      <x:c r="A6" s="59"/>
      <x:c r="B6" s="60"/>
      <x:c r="C6" s="54"/>
      <x:c r="D6" s="59"/>
      <x:c r="E6" s="60"/>
      <x:c r="F6" s="54"/>
      <x:c r="G6" s="59"/>
      <x:c r="H6" s="60"/>
    </x:row>
    <x:row r="7" ht="25" customHeight="1">
      <x:c r="A7" s="54"/>
      <x:c r="B7" s="54"/>
      <x:c r="C7" s="54"/>
      <x:c r="D7" s="54"/>
      <x:c r="E7" s="54"/>
      <x:c r="F7" s="54"/>
      <x:c r="G7" s="54"/>
      <x:c r="H7" s="54"/>
    </x:row>
    <x:row r="8" ht="25" customHeight="1">
      <x:c r="A8" s="55" t="str">
        <x:v>普通评论</x:v>
      </x:c>
      <x:c r="B8" s="56"/>
      <x:c r="C8" s="54"/>
      <x:c r="D8" s="55" t="str">
        <x:v>综合评论</x:v>
      </x:c>
      <x:c r="E8" s="56"/>
      <x:c r="F8" s="54"/>
      <x:c r="G8" s="55" t="str">
        <x:v>全部评论 / 互动</x:v>
      </x:c>
      <x:c r="H8" s="56"/>
    </x:row>
    <x:row r="9" ht="25" customHeight="1">
      <x:c r="A9" s="57" t="n">
        <x:f>SUM('作品评论明细'!$F$5:$F$33)</x:f>
        <x:v>130</x:v>
      </x:c>
      <x:c r="B9" s="58"/>
      <x:c r="C9" s="54"/>
      <x:c r="D9" s="57" t="n">
        <x:f>SUM('作品评论明细'!$I$5:$I$33)</x:f>
        <x:v>14</x:v>
      </x:c>
      <x:c r="E9" s="58"/>
      <x:c r="F9" s="54"/>
      <x:c r="G9" s="57" t="n">
        <x:f>SUM('作品评论明细'!$J$5:$J$33)</x:f>
        <x:v>144</x:v>
      </x:c>
      <x:c r="H9" s="58"/>
    </x:row>
    <x:row r="10" ht="25" customHeight="1">
      <x:c r="A10" s="59"/>
      <x:c r="B10" s="60"/>
      <x:c r="C10" s="54"/>
      <x:c r="D10" s="59"/>
      <x:c r="E10" s="60"/>
      <x:c r="F10" s="54"/>
      <x:c r="G10" s="59"/>
      <x:c r="H10" s="60"/>
    </x:row>
    <x:row r="11">
      <x:c r="A11" s="54"/>
      <x:c r="B11" s="54"/>
      <x:c r="C11" s="54"/>
      <x:c r="D11" s="54"/>
      <x:c r="E11" s="54"/>
      <x:c r="F11" s="54"/>
      <x:c r="G11" s="54"/>
      <x:c r="H11" s="54"/>
    </x:row>
    <x:row r="12">
      <x:c r="A12" s="61" t="str">
        <x:v>统计口径</x:v>
      </x:c>
      <x:c r="B12" s="61"/>
      <x:c r="C12" s="61"/>
      <x:c r="D12" s="61"/>
      <x:c r="E12" s="61"/>
      <x:c r="F12" s="61"/>
      <x:c r="G12" s="61"/>
      <x:c r="H12" s="61"/>
    </x:row>
    <x:row r="13" ht="26" customHeight="1">
      <x:c r="A13" s="62" t="str">
        <x:v>• 仅统计已发布作品；另有 2 个未发布/草稿作品：C34《作品集网页生成器》、C49《Between Worlds》，未计入作品数及评论合计。</x:v>
      </x:c>
      <x:c r="B13" s="62"/>
      <x:c r="C13" s="62"/>
      <x:c r="D13" s="62"/>
      <x:c r="E13" s="62"/>
      <x:c r="F13" s="62"/>
      <x:c r="G13" s="62"/>
      <x:c r="H13" s="62"/>
    </x:row>
    <x:row r="14" ht="26" customHeight="1">
      <x:c r="A14" s="63" t="str">
        <x:v>• 普通评论：导出数据 comments 中未删除的记录；包括主评论与回复。</x:v>
      </x:c>
      <x:c r="B14" s="63"/>
      <x:c r="C14" s="63"/>
      <x:c r="D14" s="63"/>
      <x:c r="E14" s="63"/>
      <x:c r="F14" s="63"/>
      <x:c r="G14" s="63"/>
      <x:c r="H14" s="63"/>
    </x:row>
    <x:row r="15" ht="26" customHeight="1">
      <x:c r="A15" s="62" t="str">
        <x:v>• 综合评论：导出数据 syntheses 中未删除、未撤回的记录；合计列 = 普通评论 + 综合评论。</x:v>
      </x:c>
      <x:c r="B15" s="62"/>
      <x:c r="C15" s="62"/>
      <x:c r="D15" s="62"/>
      <x:c r="E15" s="62"/>
      <x:c r="F15" s="62"/>
      <x:c r="G15" s="62"/>
      <x:c r="H15" s="62"/>
    </x:row>
    <x:row r="16" ht="26" customHeight="1">
      <x:c r="A16" s="63" t="str">
        <x:v>• 主持人页面显示的是“本轮互动数量”；本表采用全部轮次的有效历史总数，因此测试作品的数字可能高于页面当前轮次显示。</x:v>
      </x:c>
      <x:c r="B16" s="63"/>
      <x:c r="C16" s="63"/>
      <x:c r="D16" s="63"/>
      <x:c r="E16" s="63"/>
      <x:c r="F16" s="63"/>
      <x:c r="G16" s="63"/>
      <x:c r="H16" s="63"/>
    </x:row>
    <x:row r="17">
      <x:c r="A17" s="54"/>
      <x:c r="B17" s="54"/>
      <x:c r="C17" s="54"/>
      <x:c r="D17" s="54"/>
      <x:c r="E17" s="54"/>
      <x:c r="F17" s="54"/>
      <x:c r="G17" s="54"/>
      <x:c r="H17" s="54"/>
    </x:row>
    <x:row r="18">
      <x:c r="A18" s="64" t="str">
        <x:v>数据来源</x:v>
      </x:c>
      <x:c r="B18" s="64"/>
      <x:c r="C18" s="64"/>
      <x:c r="D18" s="64"/>
      <x:c r="E18" s="64"/>
      <x:c r="F18" s="64"/>
      <x:c r="G18" s="64"/>
      <x:c r="H18" s="64"/>
    </x:row>
    <x:row r="19">
      <x:c r="A19" s="65" t="str">
        <x:v>https://socialgamevibecoding-production.up.railway.app/</x:v>
      </x:c>
      <x:c r="B19" s="65"/>
      <x:c r="C19" s="65"/>
      <x:c r="D19" s="65"/>
      <x:c r="E19" s="65"/>
      <x:c r="F19" s="65"/>
      <x:c r="G19" s="65"/>
      <x:c r="H19" s="65"/>
    </x:row>
  </x:sheetData>
  <x:mergeCells>
    <x:mergeCell ref="A1:H1"/>
    <x:mergeCell ref="A2:H2"/>
    <x:mergeCell ref="A4:B4"/>
    <x:mergeCell ref="A5:B6"/>
    <x:mergeCell ref="D4:E4"/>
    <x:mergeCell ref="D5:E6"/>
    <x:mergeCell ref="G4:H4"/>
    <x:mergeCell ref="G5:H6"/>
    <x:mergeCell ref="A8:B8"/>
    <x:mergeCell ref="A9:B10"/>
    <x:mergeCell ref="D8:E8"/>
    <x:mergeCell ref="D9:E10"/>
    <x:mergeCell ref="G8:H8"/>
    <x:mergeCell ref="G9:H10"/>
    <x:mergeCell ref="A12:H12"/>
    <x:mergeCell ref="A13:H13"/>
    <x:mergeCell ref="A14:H14"/>
    <x:mergeCell ref="A15:H15"/>
    <x:mergeCell ref="A16:H16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11" hidden="0" customWidth="1"/>
    <x:col min="4" max="4" width="29" hidden="0" customWidth="1"/>
    <x:col min="5" max="5" width="15" hidden="0" customWidth="1"/>
    <x:col min="6" max="6" width="14" hidden="0" customWidth="1"/>
    <x:col min="7" max="7" width="10" hidden="0" customWidth="1"/>
    <x:col min="8" max="8" width="8" hidden="0" customWidth="1"/>
    <x:col min="9" max="9" width="14" hidden="0" customWidth="1"/>
    <x:col min="10" max="10" width="16" hidden="0" customWidth="1"/>
    <x:col min="11" max="11" width="19" hidden="0" customWidth="1"/>
    <x:col min="12" max="12" width="34" hidden="0" customWidth="1"/>
  </x:cols>
  <x:sheetData>
    <x:row r="1" ht="32" customHeight="1">
      <x:c r="A1" s="86" t="str">
        <x:v>作品评论明细（全部有效历史评论）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</x:row>
    <x:row r="2" ht="24" customHeight="1">
      <x:c r="A2" s="87" t="str">
        <x:v>可使用第4行筛选器按角色类型、创作者编号、流程状态或评论数量查看。普通评论总数与评论/互动合计为公式。</x:v>
      </x:c>
      <x:c r="B2" s="87" t="str">
        <x:v>可使用第4行筛选器按角色类型、创作者编号、流程状态或评论数量查看。普通评论总数与评论/互动合计为公式。</x:v>
      </x:c>
      <x:c r="C2" s="87" t="str">
        <x:v>可使用第4行筛选器按角色类型、创作者编号、流程状态或评论数量查看。普通评论总数与评论/互动合计为公式。</x:v>
      </x:c>
      <x:c r="D2" s="87" t="str">
        <x:v>可使用第4行筛选器按角色类型、创作者编号、流程状态或评论数量查看。普通评论总数与评论/互动合计为公式。</x:v>
      </x:c>
      <x:c r="E2" s="87" t="str">
        <x:v>可使用第4行筛选器按角色类型、创作者编号、流程状态或评论数量查看。普通评论总数与评论/互动合计为公式。</x:v>
      </x:c>
      <x:c r="F2" s="87" t="str">
        <x:v>可使用第4行筛选器按角色类型、创作者编号、流程状态或评论数量查看。普通评论总数与评论/互动合计为公式。</x:v>
      </x:c>
      <x:c r="G2" s="87" t="str">
        <x:v>可使用第4行筛选器按角色类型、创作者编号、流程状态或评论数量查看。普通评论总数与评论/互动合计为公式。</x:v>
      </x:c>
      <x:c r="H2" s="87" t="str">
        <x:v>可使用第4行筛选器按角色类型、创作者编号、流程状态或评论数量查看。普通评论总数与评论/互动合计为公式。</x:v>
      </x:c>
      <x:c r="I2" s="87" t="str">
        <x:v>可使用第4行筛选器按角色类型、创作者编号、流程状态或评论数量查看。普通评论总数与评论/互动合计为公式。</x:v>
      </x:c>
      <x:c r="J2" s="87" t="str">
        <x:v>可使用第4行筛选器按角色类型、创作者编号、流程状态或评论数量查看。普通评论总数与评论/互动合计为公式。</x:v>
      </x:c>
      <x:c r="K2" s="87" t="str">
        <x:v>可使用第4行筛选器按角色类型、创作者编号、流程状态或评论数量查看。普通评论总数与评论/互动合计为公式。</x:v>
      </x:c>
      <x:c r="L2" s="87" t="str">
        <x:v>可使用第4行筛选器按角色类型、创作者编号、流程状态或评论数量查看。普通评论总数与评论/互动合计为公式。</x:v>
      </x:c>
    </x:row>
    <x:row r="4" ht="27" customHeight="1">
      <x:c r="A4" s="91" t="str">
        <x:v>序号</x:v>
      </x:c>
      <x:c r="B4" s="91" t="str">
        <x:v>角色类型</x:v>
      </x:c>
      <x:c r="C4" s="91" t="str">
        <x:v>创作者编号</x:v>
      </x:c>
      <x:c r="D4" s="91" t="str">
        <x:v>作品名称</x:v>
      </x:c>
      <x:c r="E4" s="91" t="str">
        <x:v>当前流程</x:v>
      </x:c>
      <x:c r="F4" s="91" t="str">
        <x:v>普通评论总数</x:v>
      </x:c>
      <x:c r="G4" s="91" t="str">
        <x:v>主评论</x:v>
      </x:c>
      <x:c r="H4" s="91" t="str">
        <x:v>回复</x:v>
      </x:c>
      <x:c r="I4" s="91" t="str">
        <x:v>综合评论总数</x:v>
      </x:c>
      <x:c r="J4" s="91" t="str">
        <x:v>评论 / 互动合计</x:v>
      </x:c>
      <x:c r="K4" s="91" t="str">
        <x:v>发布时间</x:v>
      </x:c>
      <x:c r="L4" s="91" t="str">
        <x:v>来源</x:v>
      </x:c>
    </x:row>
    <x:row r="5" ht="24" customHeight="1">
      <x:c r="A5" s="93" t="n">
        <x:v>1</x:v>
      </x:c>
      <x:c r="B5" s="93" t="str">
        <x:v>正式角色</x:v>
      </x:c>
      <x:c r="C5" s="93" t="str">
        <x:v>C01</x:v>
      </x:c>
      <x:c r="D5" s="95" t="str">
        <x:v>宇宙之外</x:v>
      </x:c>
      <x:c r="E5" s="93" t="str">
        <x:v>第一轮评论中</x:v>
      </x:c>
      <x:c r="F5" s="98" t="n">
        <x:f>G5+H5</x:f>
        <x:v>9</x:v>
      </x:c>
      <x:c r="G5" s="98" t="n">
        <x:v>8</x:v>
      </x:c>
      <x:c r="H5" s="98" t="n">
        <x:v>1</x:v>
      </x:c>
      <x:c r="I5" s="98" t="n">
        <x:v>0</x:v>
      </x:c>
      <x:c r="J5" s="98" t="n">
        <x:f>F5+I5</x:f>
        <x:v>9</x:v>
      </x:c>
      <x:c r="K5" s="99" t="n">
        <x:v>46242.062700347225</x:v>
      </x:c>
      <x:c r="L5" s="97" t="str">
        <x:v>https://socialgamevibecoding-production.up.railway.app/</x:v>
      </x:c>
    </x:row>
    <x:row r="6" ht="24" customHeight="1">
      <x:c r="A6" s="93" t="n">
        <x:v>2</x:v>
      </x:c>
      <x:c r="B6" s="93" t="str">
        <x:v>正式角色</x:v>
      </x:c>
      <x:c r="C6" s="93" t="str">
        <x:v>C02</x:v>
      </x:c>
      <x:c r="D6" s="95" t="str">
        <x:v>记忆书</x:v>
      </x:c>
      <x:c r="E6" s="93" t="str">
        <x:v>第一轮评论中</x:v>
      </x:c>
      <x:c r="F6" s="98" t="n">
        <x:f>G6+H6</x:f>
        <x:v>7</x:v>
      </x:c>
      <x:c r="G6" s="98" t="n">
        <x:v>7</x:v>
      </x:c>
      <x:c r="H6" s="98" t="n">
        <x:v>0</x:v>
      </x:c>
      <x:c r="I6" s="98" t="n">
        <x:v>0</x:v>
      </x:c>
      <x:c r="J6" s="98" t="n">
        <x:f>F6+I6</x:f>
        <x:v>7</x:v>
      </x:c>
      <x:c r="K6" s="99" t="n">
        <x:v>46243.29377841435</x:v>
      </x:c>
      <x:c r="L6" s="97" t="str">
        <x:v>https://socialgamevibecoding-production.up.railway.app/</x:v>
      </x:c>
    </x:row>
    <x:row r="7" ht="24" customHeight="1">
      <x:c r="A7" s="93" t="n">
        <x:v>3</x:v>
      </x:c>
      <x:c r="B7" s="93" t="str">
        <x:v>正式角色</x:v>
      </x:c>
      <x:c r="C7" s="93" t="str">
        <x:v>C03</x:v>
      </x:c>
      <x:c r="D7" s="95" t="str">
        <x:v>拼豆星球</x:v>
      </x:c>
      <x:c r="E7" s="93" t="str">
        <x:v>第一轮评论中</x:v>
      </x:c>
      <x:c r="F7" s="98" t="n">
        <x:f>G7+H7</x:f>
        <x:v>8</x:v>
      </x:c>
      <x:c r="G7" s="98" t="n">
        <x:v>8</x:v>
      </x:c>
      <x:c r="H7" s="98" t="n">
        <x:v>0</x:v>
      </x:c>
      <x:c r="I7" s="98" t="n">
        <x:v>1</x:v>
      </x:c>
      <x:c r="J7" s="98" t="n">
        <x:f>F7+I7</x:f>
        <x:v>9</x:v>
      </x:c>
      <x:c r="K7" s="99" t="n">
        <x:v>46244.482460416664</x:v>
      </x:c>
      <x:c r="L7" s="97" t="str">
        <x:v>https://socialgamevibecoding-production.up.railway.app/</x:v>
      </x:c>
    </x:row>
    <x:row r="8" ht="24" customHeight="1">
      <x:c r="A8" s="93" t="n">
        <x:v>4</x:v>
      </x:c>
      <x:c r="B8" s="93" t="str">
        <x:v>正式角色</x:v>
      </x:c>
      <x:c r="C8" s="93" t="str">
        <x:v>C04</x:v>
      </x:c>
      <x:c r="D8" s="95" t="str">
        <x:v>yeah 叶</x:v>
      </x:c>
      <x:c r="E8" s="93" t="str">
        <x:v>第一轮评论中</x:v>
      </x:c>
      <x:c r="F8" s="98" t="n">
        <x:f>G8+H8</x:f>
        <x:v>11</x:v>
      </x:c>
      <x:c r="G8" s="98" t="n">
        <x:v>10</x:v>
      </x:c>
      <x:c r="H8" s="98" t="n">
        <x:v>1</x:v>
      </x:c>
      <x:c r="I8" s="98" t="n">
        <x:v>0</x:v>
      </x:c>
      <x:c r="J8" s="98" t="n">
        <x:f>F8+I8</x:f>
        <x:v>11</x:v>
      </x:c>
      <x:c r="K8" s="99" t="n">
        <x:v>46242.23690349537</x:v>
      </x:c>
      <x:c r="L8" s="97" t="str">
        <x:v>https://socialgamevibecoding-production.up.railway.app/</x:v>
      </x:c>
    </x:row>
    <x:row r="9" ht="24" customHeight="1">
      <x:c r="A9" s="93" t="n">
        <x:v>5</x:v>
      </x:c>
      <x:c r="B9" s="93" t="str">
        <x:v>正式角色</x:v>
      </x:c>
      <x:c r="C9" s="93" t="str">
        <x:v>C05</x:v>
      </x:c>
      <x:c r="D9" s="95" t="str">
        <x:v>星座运势查查看</x:v>
      </x:c>
      <x:c r="E9" s="93" t="str">
        <x:v>第一轮评论中</x:v>
      </x:c>
      <x:c r="F9" s="98" t="n">
        <x:f>G9+H9</x:f>
        <x:v>3</x:v>
      </x:c>
      <x:c r="G9" s="98" t="n">
        <x:v>3</x:v>
      </x:c>
      <x:c r="H9" s="98" t="n">
        <x:v>0</x:v>
      </x:c>
      <x:c r="I9" s="98" t="n">
        <x:v>0</x:v>
      </x:c>
      <x:c r="J9" s="98" t="n">
        <x:f>F9+I9</x:f>
        <x:v>3</x:v>
      </x:c>
      <x:c r="K9" s="99" t="n">
        <x:v>46244.622183368054</x:v>
      </x:c>
      <x:c r="L9" s="97" t="str">
        <x:v>https://socialgamevibecoding-production.up.railway.app/</x:v>
      </x:c>
    </x:row>
    <x:row r="10" ht="24" customHeight="1">
      <x:c r="A10" s="93" t="n">
        <x:v>6</x:v>
      </x:c>
      <x:c r="B10" s="93" t="str">
        <x:v>正式角色</x:v>
      </x:c>
      <x:c r="C10" s="93" t="str">
        <x:v>C07</x:v>
      </x:c>
      <x:c r="D10" s="95" t="str">
        <x:v>喵呜-Pawgress</x:v>
      </x:c>
      <x:c r="E10" s="93" t="str">
        <x:v>第一轮评论中</x:v>
      </x:c>
      <x:c r="F10" s="98" t="n">
        <x:f>G10+H10</x:f>
        <x:v>7</x:v>
      </x:c>
      <x:c r="G10" s="98" t="n">
        <x:v>7</x:v>
      </x:c>
      <x:c r="H10" s="98" t="n">
        <x:v>0</x:v>
      </x:c>
      <x:c r="I10" s="98" t="n">
        <x:v>1</x:v>
      </x:c>
      <x:c r="J10" s="98" t="n">
        <x:f>F10+I10</x:f>
        <x:v>8</x:v>
      </x:c>
      <x:c r="K10" s="99" t="n">
        <x:v>46243.496595613426</x:v>
      </x:c>
      <x:c r="L10" s="97" t="str">
        <x:v>https://socialgamevibecoding-production.up.railway.app/</x:v>
      </x:c>
    </x:row>
    <x:row r="11" ht="24" customHeight="1">
      <x:c r="A11" s="93" t="n">
        <x:v>7</x:v>
      </x:c>
      <x:c r="B11" s="93" t="str">
        <x:v>正式角色</x:v>
      </x:c>
      <x:c r="C11" s="93" t="str">
        <x:v>C08</x:v>
      </x:c>
      <x:c r="D11" s="95" t="str">
        <x:v>宠记</x:v>
      </x:c>
      <x:c r="E11" s="93" t="str">
        <x:v>第一轮评论中</x:v>
      </x:c>
      <x:c r="F11" s="98" t="n">
        <x:f>G11+H11</x:f>
        <x:v>4</x:v>
      </x:c>
      <x:c r="G11" s="98" t="n">
        <x:v>4</x:v>
      </x:c>
      <x:c r="H11" s="98" t="n">
        <x:v>0</x:v>
      </x:c>
      <x:c r="I11" s="98" t="n">
        <x:v>0</x:v>
      </x:c>
      <x:c r="J11" s="98" t="n">
        <x:f>F11+I11</x:f>
        <x:v>4</x:v>
      </x:c>
      <x:c r="K11" s="99" t="n">
        <x:v>46243.428298819446</x:v>
      </x:c>
      <x:c r="L11" s="97" t="str">
        <x:v>https://socialgamevibecoding-production.up.railway.app/</x:v>
      </x:c>
    </x:row>
    <x:row r="12" ht="24" customHeight="1">
      <x:c r="A12" s="93" t="n">
        <x:v>8</x:v>
      </x:c>
      <x:c r="B12" s="93" t="str">
        <x:v>正式角色</x:v>
      </x:c>
      <x:c r="C12" s="93" t="str">
        <x:v>C09</x:v>
      </x:c>
      <x:c r="D12" s="95" t="str">
        <x:v>t9 睡眠守护精灵🧚🏻</x:v>
      </x:c>
      <x:c r="E12" s="93" t="str">
        <x:v>第一轮评论中</x:v>
      </x:c>
      <x:c r="F12" s="98" t="n">
        <x:f>G12+H12</x:f>
        <x:v>0</x:v>
      </x:c>
      <x:c r="G12" s="98" t="n">
        <x:v>0</x:v>
      </x:c>
      <x:c r="H12" s="98" t="n">
        <x:v>0</x:v>
      </x:c>
      <x:c r="I12" s="98" t="n">
        <x:v>0</x:v>
      </x:c>
      <x:c r="J12" s="98" t="n">
        <x:f>F12+I12</x:f>
        <x:v>0</x:v>
      </x:c>
      <x:c r="K12" s="99" t="n">
        <x:v>46245.659052511575</x:v>
      </x:c>
      <x:c r="L12" s="97" t="str">
        <x:v>https://socialgamevibecoding-production.up.railway.app/</x:v>
      </x:c>
    </x:row>
    <x:row r="13" ht="24" customHeight="1">
      <x:c r="A13" s="93" t="n">
        <x:v>9</x:v>
      </x:c>
      <x:c r="B13" s="93" t="str">
        <x:v>正式角色</x:v>
      </x:c>
      <x:c r="C13" s="93" t="str">
        <x:v>C11</x:v>
      </x:c>
      <x:c r="D13" s="95" t="str">
        <x:v>FitCrew · AI 健康管理伙伴</x:v>
      </x:c>
      <x:c r="E13" s="93" t="str">
        <x:v>第一轮评论中</x:v>
      </x:c>
      <x:c r="F13" s="98" t="n">
        <x:f>G13+H13</x:f>
        <x:v>4</x:v>
      </x:c>
      <x:c r="G13" s="98" t="n">
        <x:v>4</x:v>
      </x:c>
      <x:c r="H13" s="98" t="n">
        <x:v>0</x:v>
      </x:c>
      <x:c r="I13" s="98" t="n">
        <x:v>0</x:v>
      </x:c>
      <x:c r="J13" s="98" t="n">
        <x:f>F13+I13</x:f>
        <x:v>4</x:v>
      </x:c>
      <x:c r="K13" s="99" t="n">
        <x:v>46243.05754811343</x:v>
      </x:c>
      <x:c r="L13" s="97" t="str">
        <x:v>https://socialgamevibecoding-production.up.railway.app/</x:v>
      </x:c>
    </x:row>
    <x:row r="14" ht="24" customHeight="1">
      <x:c r="A14" s="93" t="n">
        <x:v>10</x:v>
      </x:c>
      <x:c r="B14" s="93" t="str">
        <x:v>正式角色</x:v>
      </x:c>
      <x:c r="C14" s="93" t="str">
        <x:v>C13</x:v>
      </x:c>
      <x:c r="D14" s="95" t="str">
        <x:v>居家物品收纳管理</x:v>
      </x:c>
      <x:c r="E14" s="93" t="str">
        <x:v>第一轮评论中</x:v>
      </x:c>
      <x:c r="F14" s="98" t="n">
        <x:f>G14+H14</x:f>
        <x:v>0</x:v>
      </x:c>
      <x:c r="G14" s="98" t="n">
        <x:v>0</x:v>
      </x:c>
      <x:c r="H14" s="98" t="n">
        <x:v>0</x:v>
      </x:c>
      <x:c r="I14" s="98" t="n">
        <x:v>0</x:v>
      </x:c>
      <x:c r="J14" s="98" t="n">
        <x:f>F14+I14</x:f>
        <x:v>0</x:v>
      </x:c>
      <x:c r="K14" s="99" t="n">
        <x:v>46245.61380204861</x:v>
      </x:c>
      <x:c r="L14" s="97" t="str">
        <x:v>https://socialgamevibecoding-production.up.railway.app/</x:v>
      </x:c>
    </x:row>
    <x:row r="15" ht="24" customHeight="1">
      <x:c r="A15" s="93" t="n">
        <x:v>11</x:v>
      </x:c>
      <x:c r="B15" s="93" t="str">
        <x:v>正式角色</x:v>
      </x:c>
      <x:c r="C15" s="93" t="str">
        <x:v>C16</x:v>
      </x:c>
      <x:c r="D15" s="95" t="str">
        <x:v>木鱼敲打</x:v>
      </x:c>
      <x:c r="E15" s="93" t="str">
        <x:v>第一轮评论中</x:v>
      </x:c>
      <x:c r="F15" s="98" t="n">
        <x:f>G15+H15</x:f>
        <x:v>4</x:v>
      </x:c>
      <x:c r="G15" s="98" t="n">
        <x:v>4</x:v>
      </x:c>
      <x:c r="H15" s="98" t="n">
        <x:v>0</x:v>
      </x:c>
      <x:c r="I15" s="98" t="n">
        <x:v>0</x:v>
      </x:c>
      <x:c r="J15" s="98" t="n">
        <x:f>F15+I15</x:f>
        <x:v>4</x:v>
      </x:c>
      <x:c r="K15" s="99" t="n">
        <x:v>46244.48294221065</x:v>
      </x:c>
      <x:c r="L15" s="97" t="str">
        <x:v>https://socialgamevibecoding-production.up.railway.app/</x:v>
      </x:c>
    </x:row>
    <x:row r="16" ht="24" customHeight="1">
      <x:c r="A16" s="93" t="n">
        <x:v>12</x:v>
      </x:c>
      <x:c r="B16" s="93" t="str">
        <x:v>正式角色</x:v>
      </x:c>
      <x:c r="C16" s="93" t="str">
        <x:v>C19</x:v>
      </x:c>
      <x:c r="D16" s="95" t="str">
        <x:v>manim函数动画</x:v>
      </x:c>
      <x:c r="E16" s="93" t="str">
        <x:v>第一轮评论中</x:v>
      </x:c>
      <x:c r="F16" s="98" t="n">
        <x:f>G16+H16</x:f>
        <x:v>7</x:v>
      </x:c>
      <x:c r="G16" s="98" t="n">
        <x:v>6</x:v>
      </x:c>
      <x:c r="H16" s="98" t="n">
        <x:v>1</x:v>
      </x:c>
      <x:c r="I16" s="98" t="n">
        <x:v>1</x:v>
      </x:c>
      <x:c r="J16" s="98" t="n">
        <x:f>F16+I16</x:f>
        <x:v>8</x:v>
      </x:c>
      <x:c r="K16" s="99" t="n">
        <x:v>46242.093933310185</x:v>
      </x:c>
      <x:c r="L16" s="97" t="str">
        <x:v>https://socialgamevibecoding-production.up.railway.app/</x:v>
      </x:c>
    </x:row>
    <x:row r="17" ht="24" customHeight="1">
      <x:c r="A17" s="93" t="n">
        <x:v>13</x:v>
      </x:c>
      <x:c r="B17" s="93" t="str">
        <x:v>正式角色</x:v>
      </x:c>
      <x:c r="C17" s="93" t="str">
        <x:v>C20</x:v>
      </x:c>
      <x:c r="D17" s="95" t="str">
        <x:v>智能打卡表单</x:v>
      </x:c>
      <x:c r="E17" s="93" t="str">
        <x:v>第一轮评论中</x:v>
      </x:c>
      <x:c r="F17" s="98" t="n">
        <x:f>G17+H17</x:f>
        <x:v>9</x:v>
      </x:c>
      <x:c r="G17" s="98" t="n">
        <x:v>9</x:v>
      </x:c>
      <x:c r="H17" s="98" t="n">
        <x:v>0</x:v>
      </x:c>
      <x:c r="I17" s="98" t="n">
        <x:v>1</x:v>
      </x:c>
      <x:c r="J17" s="98" t="n">
        <x:f>F17+I17</x:f>
        <x:v>10</x:v>
      </x:c>
      <x:c r="K17" s="99" t="n">
        <x:v>46242.12646755787</x:v>
      </x:c>
      <x:c r="L17" s="97" t="str">
        <x:v>https://socialgamevibecoding-production.up.railway.app/</x:v>
      </x:c>
    </x:row>
    <x:row r="18" ht="24" customHeight="1">
      <x:c r="A18" s="93" t="n">
        <x:v>14</x:v>
      </x:c>
      <x:c r="B18" s="93" t="str">
        <x:v>正式角色</x:v>
      </x:c>
      <x:c r="C18" s="93" t="str">
        <x:v>C23</x:v>
      </x:c>
      <x:c r="D18" s="95" t="str">
        <x:v>icar</x:v>
      </x:c>
      <x:c r="E18" s="93" t="str">
        <x:v>第一轮评论中</x:v>
      </x:c>
      <x:c r="F18" s="98" t="n">
        <x:f>G18+H18</x:f>
        <x:v>3</x:v>
      </x:c>
      <x:c r="G18" s="98" t="n">
        <x:v>3</x:v>
      </x:c>
      <x:c r="H18" s="98" t="n">
        <x:v>0</x:v>
      </x:c>
      <x:c r="I18" s="98" t="n">
        <x:v>0</x:v>
      </x:c>
      <x:c r="J18" s="98" t="n">
        <x:f>F18+I18</x:f>
        <x:v>3</x:v>
      </x:c>
      <x:c r="K18" s="99" t="n">
        <x:v>46242.61814841435</x:v>
      </x:c>
      <x:c r="L18" s="97" t="str">
        <x:v>https://socialgamevibecoding-production.up.railway.app/</x:v>
      </x:c>
    </x:row>
    <x:row r="19" ht="24" customHeight="1">
      <x:c r="A19" s="93" t="n">
        <x:v>15</x:v>
      </x:c>
      <x:c r="B19" s="93" t="str">
        <x:v>正式角色</x:v>
      </x:c>
      <x:c r="C19" s="93" t="str">
        <x:v>C24</x:v>
      </x:c>
      <x:c r="D19" s="95" t="str">
        <x:v>晴天娃娃</x:v>
      </x:c>
      <x:c r="E19" s="93" t="str">
        <x:v>第一轮评论中</x:v>
      </x:c>
      <x:c r="F19" s="98" t="n">
        <x:f>G19+H19</x:f>
        <x:v>7</x:v>
      </x:c>
      <x:c r="G19" s="98" t="n">
        <x:v>7</x:v>
      </x:c>
      <x:c r="H19" s="98" t="n">
        <x:v>0</x:v>
      </x:c>
      <x:c r="I19" s="98" t="n">
        <x:v>1</x:v>
      </x:c>
      <x:c r="J19" s="98" t="n">
        <x:f>F19+I19</x:f>
        <x:v>8</x:v>
      </x:c>
      <x:c r="K19" s="99" t="n">
        <x:v>46243.52072206019</x:v>
      </x:c>
      <x:c r="L19" s="97" t="str">
        <x:v>https://socialgamevibecoding-production.up.railway.app/</x:v>
      </x:c>
    </x:row>
    <x:row r="20" ht="24" customHeight="1">
      <x:c r="A20" s="93" t="n">
        <x:v>16</x:v>
      </x:c>
      <x:c r="B20" s="93" t="str">
        <x:v>正式角色</x:v>
      </x:c>
      <x:c r="C20" s="93" t="str">
        <x:v>C25</x:v>
      </x:c>
      <x:c r="D20" s="95" t="str">
        <x:v>去、不去</x:v>
      </x:c>
      <x:c r="E20" s="93" t="str">
        <x:v>第一轮评论中</x:v>
      </x:c>
      <x:c r="F20" s="98" t="n">
        <x:f>G20+H20</x:f>
        <x:v>6</x:v>
      </x:c>
      <x:c r="G20" s="98" t="n">
        <x:v>6</x:v>
      </x:c>
      <x:c r="H20" s="98" t="n">
        <x:v>0</x:v>
      </x:c>
      <x:c r="I20" s="98" t="n">
        <x:v>2</x:v>
      </x:c>
      <x:c r="J20" s="98" t="n">
        <x:f>F20+I20</x:f>
        <x:v>8</x:v>
      </x:c>
      <x:c r="K20" s="99" t="n">
        <x:v>46243.267490555554</x:v>
      </x:c>
      <x:c r="L20" s="97" t="str">
        <x:v>https://socialgamevibecoding-production.up.railway.app/</x:v>
      </x:c>
    </x:row>
    <x:row r="21" ht="24" customHeight="1">
      <x:c r="A21" s="93" t="n">
        <x:v>17</x:v>
      </x:c>
      <x:c r="B21" s="93" t="str">
        <x:v>正式角色</x:v>
      </x:c>
      <x:c r="C21" s="93" t="str">
        <x:v>C26</x:v>
      </x:c>
      <x:c r="D21" s="95" t="str">
        <x:v>PLAY A LITTLE</x:v>
      </x:c>
      <x:c r="E21" s="93" t="str">
        <x:v>第一轮评论中</x:v>
      </x:c>
      <x:c r="F21" s="98" t="n">
        <x:f>G21+H21</x:f>
        <x:v>7</x:v>
      </x:c>
      <x:c r="G21" s="98" t="n">
        <x:v>7</x:v>
      </x:c>
      <x:c r="H21" s="98" t="n">
        <x:v>0</x:v>
      </x:c>
      <x:c r="I21" s="98" t="n">
        <x:v>0</x:v>
      </x:c>
      <x:c r="J21" s="98" t="n">
        <x:f>F21+I21</x:f>
        <x:v>7</x:v>
      </x:c>
      <x:c r="K21" s="99" t="n">
        <x:v>46243.38609153935</x:v>
      </x:c>
      <x:c r="L21" s="97" t="str">
        <x:v>https://socialgamevibecoding-production.up.railway.app/</x:v>
      </x:c>
    </x:row>
    <x:row r="22" ht="24" customHeight="1">
      <x:c r="A22" s="93" t="n">
        <x:v>18</x:v>
      </x:c>
      <x:c r="B22" s="93" t="str">
        <x:v>正式角色</x:v>
      </x:c>
      <x:c r="C22" s="93" t="str">
        <x:v>C31</x:v>
      </x:c>
      <x:c r="D22" s="95" t="str">
        <x:v>每日幸运穿搭灵感</x:v>
      </x:c>
      <x:c r="E22" s="93" t="str">
        <x:v>第一轮评论中</x:v>
      </x:c>
      <x:c r="F22" s="98" t="n">
        <x:f>G22+H22</x:f>
        <x:v>6</x:v>
      </x:c>
      <x:c r="G22" s="98" t="n">
        <x:v>6</x:v>
      </x:c>
      <x:c r="H22" s="98" t="n">
        <x:v>0</x:v>
      </x:c>
      <x:c r="I22" s="98" t="n">
        <x:v>0</x:v>
      </x:c>
      <x:c r="J22" s="98" t="n">
        <x:f>F22+I22</x:f>
        <x:v>6</x:v>
      </x:c>
      <x:c r="K22" s="99" t="n">
        <x:v>46244.35275119213</x:v>
      </x:c>
      <x:c r="L22" s="97" t="str">
        <x:v>https://socialgamevibecoding-production.up.railway.app/</x:v>
      </x:c>
    </x:row>
    <x:row r="23" ht="24" customHeight="1">
      <x:c r="A23" s="93" t="n">
        <x:v>19</x:v>
      </x:c>
      <x:c r="B23" s="93" t="str">
        <x:v>正式角色</x:v>
      </x:c>
      <x:c r="C23" s="93" t="str">
        <x:v>C32</x:v>
      </x:c>
      <x:c r="D23" s="95" t="str">
        <x:v>水</x:v>
      </x:c>
      <x:c r="E23" s="93" t="str">
        <x:v>第一轮评论中</x:v>
      </x:c>
      <x:c r="F23" s="98" t="n">
        <x:f>G23+H23</x:f>
        <x:v>0</x:v>
      </x:c>
      <x:c r="G23" s="98" t="n">
        <x:v>0</x:v>
      </x:c>
      <x:c r="H23" s="98" t="n">
        <x:v>0</x:v>
      </x:c>
      <x:c r="I23" s="98" t="n">
        <x:v>0</x:v>
      </x:c>
      <x:c r="J23" s="98" t="n">
        <x:f>F23+I23</x:f>
        <x:v>0</x:v>
      </x:c>
      <x:c r="K23" s="99" t="n">
        <x:v>46245.649724849536</x:v>
      </x:c>
      <x:c r="L23" s="97" t="str">
        <x:v>https://socialgamevibecoding-production.up.railway.app/</x:v>
      </x:c>
    </x:row>
    <x:row r="24" ht="24" customHeight="1">
      <x:c r="A24" s="93" t="n">
        <x:v>20</x:v>
      </x:c>
      <x:c r="B24" s="93" t="str">
        <x:v>正式角色</x:v>
      </x:c>
      <x:c r="C24" s="93" t="str">
        <x:v>C33</x:v>
      </x:c>
      <x:c r="D24" s="95" t="str">
        <x:v>今天想看哪部电影？</x:v>
      </x:c>
      <x:c r="E24" s="93" t="str">
        <x:v>第一轮评论中</x:v>
      </x:c>
      <x:c r="F24" s="98" t="n">
        <x:f>G24+H24</x:f>
        <x:v>5</x:v>
      </x:c>
      <x:c r="G24" s="98" t="n">
        <x:v>5</x:v>
      </x:c>
      <x:c r="H24" s="98" t="n">
        <x:v>0</x:v>
      </x:c>
      <x:c r="I24" s="98" t="n">
        <x:v>0</x:v>
      </x:c>
      <x:c r="J24" s="98" t="n">
        <x:f>F24+I24</x:f>
        <x:v>5</x:v>
      </x:c>
      <x:c r="K24" s="99" t="n">
        <x:v>46244.604842256944</x:v>
      </x:c>
      <x:c r="L24" s="97" t="str">
        <x:v>https://socialgamevibecoding-production.up.railway.app/</x:v>
      </x:c>
    </x:row>
    <x:row r="25" ht="24" customHeight="1">
      <x:c r="A25" s="93" t="n">
        <x:v>21</x:v>
      </x:c>
      <x:c r="B25" s="93" t="str">
        <x:v>正式角色</x:v>
      </x:c>
      <x:c r="C25" s="93" t="str">
        <x:v>C35</x:v>
      </x:c>
      <x:c r="D25" s="95" t="str">
        <x:v>touchdesigner 鼠标交互作品</x:v>
      </x:c>
      <x:c r="E25" s="93" t="str">
        <x:v>第一轮评论中</x:v>
      </x:c>
      <x:c r="F25" s="98" t="n">
        <x:f>G25+H25</x:f>
        <x:v>1</x:v>
      </x:c>
      <x:c r="G25" s="98" t="n">
        <x:v>1</x:v>
      </x:c>
      <x:c r="H25" s="98" t="n">
        <x:v>0</x:v>
      </x:c>
      <x:c r="I25" s="98" t="n">
        <x:v>0</x:v>
      </x:c>
      <x:c r="J25" s="98" t="n">
        <x:f>F25+I25</x:f>
        <x:v>1</x:v>
      </x:c>
      <x:c r="K25" s="99" t="n">
        <x:v>46245.62206625</x:v>
      </x:c>
      <x:c r="L25" s="97" t="str">
        <x:v>https://socialgamevibecoding-production.up.railway.app/</x:v>
      </x:c>
    </x:row>
    <x:row r="26" ht="24" customHeight="1">
      <x:c r="A26" s="93" t="n">
        <x:v>22</x:v>
      </x:c>
      <x:c r="B26" s="93" t="str">
        <x:v>正式角色</x:v>
      </x:c>
      <x:c r="C26" s="93" t="str">
        <x:v>C38</x:v>
      </x:c>
      <x:c r="D26" s="95" t="str">
        <x:v>今天有戏</x:v>
      </x:c>
      <x:c r="E26" s="93" t="str">
        <x:v>第一轮评论中</x:v>
      </x:c>
      <x:c r="F26" s="98" t="n">
        <x:f>G26+H26</x:f>
        <x:v>2</x:v>
      </x:c>
      <x:c r="G26" s="98" t="n">
        <x:v>2</x:v>
      </x:c>
      <x:c r="H26" s="98" t="n">
        <x:v>0</x:v>
      </x:c>
      <x:c r="I26" s="98" t="n">
        <x:v>0</x:v>
      </x:c>
      <x:c r="J26" s="98" t="n">
        <x:f>F26+I26</x:f>
        <x:v>2</x:v>
      </x:c>
      <x:c r="K26" s="99" t="n">
        <x:v>46245.43475876158</x:v>
      </x:c>
      <x:c r="L26" s="97" t="str">
        <x:v>https://socialgamevibecoding-production.up.railway.app/</x:v>
      </x:c>
    </x:row>
    <x:row r="27" ht="24" customHeight="1">
      <x:c r="A27" s="93" t="n">
        <x:v>23</x:v>
      </x:c>
      <x:c r="B27" s="93" t="str">
        <x:v>正式角色</x:v>
      </x:c>
      <x:c r="C27" s="93" t="str">
        <x:v>C39</x:v>
      </x:c>
      <x:c r="D27" s="95" t="str">
        <x:v>个人重大新闻生成器</x:v>
      </x:c>
      <x:c r="E27" s="93" t="str">
        <x:v>第一轮评论中</x:v>
      </x:c>
      <x:c r="F27" s="98" t="n">
        <x:f>G27+H27</x:f>
        <x:v>2</x:v>
      </x:c>
      <x:c r="G27" s="98" t="n">
        <x:v>2</x:v>
      </x:c>
      <x:c r="H27" s="98" t="n">
        <x:v>0</x:v>
      </x:c>
      <x:c r="I27" s="98" t="n">
        <x:v>0</x:v>
      </x:c>
      <x:c r="J27" s="98" t="n">
        <x:f>F27+I27</x:f>
        <x:v>2</x:v>
      </x:c>
      <x:c r="K27" s="99" t="n">
        <x:v>46245.54903857639</x:v>
      </x:c>
      <x:c r="L27" s="97" t="str">
        <x:v>https://socialgamevibecoding-production.up.railway.app/</x:v>
      </x:c>
    </x:row>
    <x:row r="28" ht="24" customHeight="1">
      <x:c r="A28" s="93" t="n">
        <x:v>24</x:v>
      </x:c>
      <x:c r="B28" s="93" t="str">
        <x:v>正式角色</x:v>
      </x:c>
      <x:c r="C28" s="93" t="str">
        <x:v>C40</x:v>
      </x:c>
      <x:c r="D28" s="95" t="str">
        <x:v>知命寻缘</x:v>
      </x:c>
      <x:c r="E28" s="93" t="str">
        <x:v>第一轮评论中</x:v>
      </x:c>
      <x:c r="F28" s="98" t="n">
        <x:f>G28+H28</x:f>
        <x:v>3</x:v>
      </x:c>
      <x:c r="G28" s="98" t="n">
        <x:v>3</x:v>
      </x:c>
      <x:c r="H28" s="98" t="n">
        <x:v>0</x:v>
      </x:c>
      <x:c r="I28" s="98" t="n">
        <x:v>0</x:v>
      </x:c>
      <x:c r="J28" s="98" t="n">
        <x:f>F28+I28</x:f>
        <x:v>3</x:v>
      </x:c>
      <x:c r="K28" s="99" t="n">
        <x:v>46245.50125743056</x:v>
      </x:c>
      <x:c r="L28" s="97" t="str">
        <x:v>https://socialgamevibecoding-production.up.railway.app/</x:v>
      </x:c>
    </x:row>
    <x:row r="29" ht="24" customHeight="1">
      <x:c r="A29" s="93" t="n">
        <x:v>25</x:v>
      </x:c>
      <x:c r="B29" s="93" t="str">
        <x:v>正式角色</x:v>
      </x:c>
      <x:c r="C29" s="93" t="str">
        <x:v>C48</x:v>
      </x:c>
      <x:c r="D29" s="95" t="str">
        <x:v>我要成仙</x:v>
      </x:c>
      <x:c r="E29" s="93" t="str">
        <x:v>第一轮评论中</x:v>
      </x:c>
      <x:c r="F29" s="98" t="n">
        <x:f>G29+H29</x:f>
        <x:v>3</x:v>
      </x:c>
      <x:c r="G29" s="98" t="n">
        <x:v>3</x:v>
      </x:c>
      <x:c r="H29" s="98" t="n">
        <x:v>0</x:v>
      </x:c>
      <x:c r="I29" s="98" t="n">
        <x:v>0</x:v>
      </x:c>
      <x:c r="J29" s="98" t="n">
        <x:f>F29+I29</x:f>
        <x:v>3</x:v>
      </x:c>
      <x:c r="K29" s="99" t="n">
        <x:v>46244.5189980787</x:v>
      </x:c>
      <x:c r="L29" s="97" t="str">
        <x:v>https://socialgamevibecoding-production.up.railway.app/</x:v>
      </x:c>
    </x:row>
    <x:row r="30" ht="24" customHeight="1">
      <x:c r="A30" s="93" t="n">
        <x:v>26</x:v>
      </x:c>
      <x:c r="B30" s="93" t="str">
        <x:v>正式角色</x:v>
      </x:c>
      <x:c r="C30" s="93" t="str">
        <x:v>C50</x:v>
      </x:c>
      <x:c r="D30" s="95" t="str">
        <x:v>portfolio</x:v>
      </x:c>
      <x:c r="E30" s="93" t="str">
        <x:v>第一轮评论中</x:v>
      </x:c>
      <x:c r="F30" s="98" t="n">
        <x:f>G30+H30</x:f>
        <x:v>3</x:v>
      </x:c>
      <x:c r="G30" s="98" t="n">
        <x:v>3</x:v>
      </x:c>
      <x:c r="H30" s="98" t="n">
        <x:v>0</x:v>
      </x:c>
      <x:c r="I30" s="98" t="n">
        <x:v>0</x:v>
      </x:c>
      <x:c r="J30" s="98" t="n">
        <x:f>F30+I30</x:f>
        <x:v>3</x:v>
      </x:c>
      <x:c r="K30" s="99" t="n">
        <x:v>46245.06329366898</x:v>
      </x:c>
      <x:c r="L30" s="97" t="str">
        <x:v>https://socialgamevibecoding-production.up.railway.app/</x:v>
      </x:c>
    </x:row>
    <x:row r="31" ht="24" customHeight="1">
      <x:c r="A31" s="93" t="n">
        <x:v>27</x:v>
      </x:c>
      <x:c r="B31" s="93" t="str">
        <x:v>测试角色</x:v>
      </x:c>
      <x:c r="C31" s="93" t="str">
        <x:v>C28</x:v>
      </x:c>
      <x:c r="D31" s="95" t="str">
        <x:v>周末去哪里玩</x:v>
      </x:c>
      <x:c r="E31" s="93" t="str">
        <x:v>两轮已完成</x:v>
      </x:c>
      <x:c r="F31" s="98" t="n">
        <x:f>G31+H31</x:f>
        <x:v>5</x:v>
      </x:c>
      <x:c r="G31" s="98" t="n">
        <x:v>4</x:v>
      </x:c>
      <x:c r="H31" s="98" t="n">
        <x:v>1</x:v>
      </x:c>
      <x:c r="I31" s="98" t="n">
        <x:v>4</x:v>
      </x:c>
      <x:c r="J31" s="98" t="n">
        <x:f>F31+I31</x:f>
        <x:v>9</x:v>
      </x:c>
      <x:c r="K31" s="99" t="n">
        <x:v>46243.46791505787</x:v>
      </x:c>
      <x:c r="L31" s="97" t="str">
        <x:v>https://socialgamevibecoding-production.up.railway.app/</x:v>
      </x:c>
    </x:row>
    <x:row r="32" ht="24" customHeight="1">
      <x:c r="A32" s="93" t="n">
        <x:v>28</x:v>
      </x:c>
      <x:c r="B32" s="93" t="str">
        <x:v>测试角色</x:v>
      </x:c>
      <x:c r="C32" s="93" t="str">
        <x:v>C29</x:v>
      </x:c>
      <x:c r="D32" s="95" t="str">
        <x:v>周末去哪里玩</x:v>
      </x:c>
      <x:c r="E32" s="93" t="str">
        <x:v>第二轮评论中</x:v>
      </x:c>
      <x:c r="F32" s="98" t="n">
        <x:f>G32+H32</x:f>
        <x:v>4</x:v>
      </x:c>
      <x:c r="G32" s="98" t="n">
        <x:v>4</x:v>
      </x:c>
      <x:c r="H32" s="98" t="n">
        <x:v>0</x:v>
      </x:c>
      <x:c r="I32" s="98" t="n">
        <x:v>3</x:v>
      </x:c>
      <x:c r="J32" s="98" t="n">
        <x:f>F32+I32</x:f>
        <x:v>7</x:v>
      </x:c>
      <x:c r="K32" s="99" t="n">
        <x:v>46243.28351446759</x:v>
      </x:c>
      <x:c r="L32" s="97" t="str">
        <x:v>https://socialgamevibecoding-production.up.railway.app/</x:v>
      </x:c>
    </x:row>
    <x:row r="33" ht="24" customHeight="1">
      <x:c r="A33" s="93" t="n">
        <x:v>29</x:v>
      </x:c>
      <x:c r="B33" s="93" t="str">
        <x:v>测试角色</x:v>
      </x:c>
      <x:c r="C33" s="93" t="str">
        <x:v>C30</x:v>
      </x:c>
      <x:c r="D33" s="95" t="str">
        <x:v>北大官网</x:v>
      </x:c>
      <x:c r="E33" s="93" t="str">
        <x:v>第一轮评论中</x:v>
      </x:c>
      <x:c r="F33" s="98" t="n">
        <x:f>G33+H33</x:f>
        <x:v>0</x:v>
      </x:c>
      <x:c r="G33" s="98" t="n">
        <x:v>0</x:v>
      </x:c>
      <x:c r="H33" s="98" t="n">
        <x:v>0</x:v>
      </x:c>
      <x:c r="I33" s="98" t="n">
        <x:v>0</x:v>
      </x:c>
      <x:c r="J33" s="98" t="n">
        <x:f>F33+I33</x:f>
        <x:v>0</x:v>
      </x:c>
      <x:c r="K33" s="99" t="n">
        <x:v>46243.26868533565</x:v>
      </x:c>
      <x:c r="L33" s="97" t="str">
        <x:v>https://socialgamevibecoding-production.up.railway.app/</x:v>
      </x:c>
    </x:row>
  </x:sheetData>
  <x:mergeCells>
    <x:mergeCell ref="A1:L1"/>
    <x:mergeCell ref="A2:L2"/>
  </x:mergeCells>
  <x:conditionalFormatting sqref="B5:B31">
    <x:cfRule type="containsText" dxfId="0" priority="1" operator="containsText" text="测试角色"/>
  </x:conditionalFormatting>
  <x:conditionalFormatting sqref="J5:J3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{151C12BE-434F-D5E0-C836-47DD746A6F28}</x14:id>
        </x:ext>
      </x:extLst>
    </x:cfRule>
    <x:cfRule type="cellIs" dxfId="1" priority="3" operator="equal">
      <x:formula>0</x:formula>
    </x:cfRule>
  </x:conditionalFormatting>
  <x:conditionalFormatting sqref="B5:B33">
    <x:cfRule type="expression" dxfId="2" priority="4">
      <x:formula>$B5="测试角色"</x:formula>
    </x:cfRule>
  </x:conditionalFormatting>
  <x:conditionalFormatting sqref="J5:J33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{CB888A4F-27B1-3EBD-BC45-09C8F4F8DFD8}</x14:id>
        </x:ext>
      </x:extLst>
    </x:cfRule>
    <x:cfRule type="cellIs" dxfId="3" priority="6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31c707e8a045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51C12BE-434F-D5E0-C836-47DD746A6F28}">
            <x14:dataBar gradient="1">
              <x14:cfvo type="min"/>
              <x14:cfvo type="max"/>
              <x14:fillColor rgb="FF5B9BD5"/>
            </x14:dataBar>
          </x14:cfRule>
          <xm:sqref>J5:J31</xm:sqref>
        </x14:conditionalFormatting>
        <x14:conditionalFormatting>
          <x14:cfRule type="dataBar" priority="5" id="{CB888A4F-27B1-3EBD-BC45-09C8F4F8DFD8}">
            <x14:dataBar gradient="1">
              <x14:cfvo type="min"/>
              <x14:cfvo type="max"/>
              <x14:fillColor rgb="FF5B9BD5"/>
            </x14:dataBar>
          </x14:cfRule>
          <xm:sqref>J5:J33</xm:sqref>
        </x14:conditionalFormatting>
      </x14:conditionalFormattings>
    </x:ext>
  </x:extLst>
</x:worksheet>
</file>